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l\Weizmann Institute Dropbox\Yana Lerner\Lab members\Yana\1.REPRORTER ASSAY\20260122_full experiment with Etai\"/>
    </mc:Choice>
  </mc:AlternateContent>
  <xr:revisionPtr revIDLastSave="0" documentId="13_ncr:1_{EDAE0891-10CA-4B6C-8EBC-26F04EA5BC47}" xr6:coauthVersionLast="47" xr6:coauthVersionMax="47" xr10:uidLastSave="{00000000-0000-0000-0000-000000000000}"/>
  <bookViews>
    <workbookView xWindow="-120" yWindow="-120" windowWidth="29040" windowHeight="15840" xr2:uid="{FFE46945-4906-4D6C-BD1D-A7E97018DB3F}"/>
  </bookViews>
  <sheets>
    <sheet name="Plate 7 - Sheet1" sheetId="1" r:id="rId1"/>
  </sheets>
  <definedNames>
    <definedName name="MethodPointer1">1623894272</definedName>
    <definedName name="MethodPointer2">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J49" i="1"/>
  <c r="J50" i="1"/>
  <c r="J47" i="1"/>
  <c r="I48" i="1"/>
  <c r="I49" i="1"/>
  <c r="I50" i="1"/>
  <c r="I47" i="1"/>
  <c r="H46" i="1"/>
  <c r="H47" i="1"/>
  <c r="H48" i="1"/>
  <c r="H49" i="1"/>
  <c r="H50" i="1"/>
  <c r="H45" i="1"/>
  <c r="G46" i="1"/>
  <c r="G47" i="1"/>
  <c r="G48" i="1"/>
  <c r="G49" i="1"/>
  <c r="G50" i="1"/>
  <c r="G45" i="1"/>
  <c r="F46" i="1"/>
  <c r="F47" i="1"/>
  <c r="F48" i="1"/>
  <c r="F49" i="1"/>
  <c r="F50" i="1"/>
  <c r="F45" i="1"/>
  <c r="E45" i="1"/>
  <c r="D46" i="1"/>
  <c r="D47" i="1"/>
  <c r="D48" i="1"/>
  <c r="D49" i="1"/>
  <c r="D50" i="1"/>
  <c r="D45" i="1"/>
</calcChain>
</file>

<file path=xl/sharedStrings.xml><?xml version="1.0" encoding="utf-8"?>
<sst xmlns="http://schemas.openxmlformats.org/spreadsheetml/2006/main" count="53" uniqueCount="46">
  <si>
    <t>Software Version</t>
  </si>
  <si>
    <t>3.10.06</t>
  </si>
  <si>
    <t>Experiment File Path:</t>
  </si>
  <si>
    <t>C:\Users\Lauflab\Desktop\Synergy experiments\lumine_260122_144358.xpt</t>
  </si>
  <si>
    <t>Protocol File Path:</t>
  </si>
  <si>
    <t>C:\Users\Public\Documents\Protocols\lumine.prt</t>
  </si>
  <si>
    <t>Plate Number</t>
  </si>
  <si>
    <t>Plate 7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</si>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</sst>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C369-9BBB-46A8-857F-836A184EE721}">
  <dimension ref="A2:O50"/>
  <sheetViews>
    <sheetView tabSelected="1" topLeftCell="A10" workbookViewId="0">
      <selection activeCell="D45" sqref="D45:J5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0.68734953703703705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23.4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1025</v>
      </c>
      <c r="D33" s="7">
        <v>530</v>
      </c>
      <c r="E33" s="7">
        <v>672</v>
      </c>
      <c r="F33" s="7">
        <v>1077</v>
      </c>
      <c r="G33" s="7">
        <v>1728</v>
      </c>
      <c r="H33" s="7">
        <v>297</v>
      </c>
      <c r="I33" s="7">
        <v>191</v>
      </c>
      <c r="J33" s="7">
        <v>600</v>
      </c>
      <c r="K33" s="7">
        <v>458</v>
      </c>
      <c r="L33" s="7">
        <v>50</v>
      </c>
      <c r="M33" s="7">
        <v>783</v>
      </c>
      <c r="N33" s="7">
        <v>36</v>
      </c>
      <c r="O33" s="8" t="s">
        <v>38</v>
      </c>
    </row>
    <row r="34" spans="2:15" x14ac:dyDescent="0.2">
      <c r="B34" s="6" t="s">
        <v>39</v>
      </c>
      <c r="C34" s="7">
        <v>235</v>
      </c>
      <c r="D34" s="9">
        <v>121790</v>
      </c>
      <c r="E34" s="10">
        <v>389222</v>
      </c>
      <c r="F34" s="11">
        <v>407679</v>
      </c>
      <c r="G34" s="11">
        <v>420251</v>
      </c>
      <c r="H34" s="7">
        <v>279</v>
      </c>
      <c r="I34" s="7">
        <v>19520</v>
      </c>
      <c r="J34" s="12">
        <v>99011</v>
      </c>
      <c r="K34" s="9">
        <v>128192</v>
      </c>
      <c r="L34" s="13">
        <v>217439</v>
      </c>
      <c r="M34" s="7">
        <v>1728</v>
      </c>
      <c r="N34" s="7">
        <v>308</v>
      </c>
      <c r="O34" s="8" t="s">
        <v>38</v>
      </c>
    </row>
    <row r="35" spans="2:15" x14ac:dyDescent="0.2">
      <c r="B35" s="6" t="s">
        <v>40</v>
      </c>
      <c r="C35" s="7">
        <v>285</v>
      </c>
      <c r="D35" s="7">
        <v>18709</v>
      </c>
      <c r="E35" s="7">
        <v>13562</v>
      </c>
      <c r="F35" s="7">
        <v>25593</v>
      </c>
      <c r="G35" s="14">
        <v>38049</v>
      </c>
      <c r="H35" s="7">
        <v>465</v>
      </c>
      <c r="I35" s="7">
        <v>17171</v>
      </c>
      <c r="J35" s="7">
        <v>14076</v>
      </c>
      <c r="K35" s="7">
        <v>16442</v>
      </c>
      <c r="L35" s="7">
        <v>27534</v>
      </c>
      <c r="M35" s="7">
        <v>222</v>
      </c>
      <c r="N35" s="7">
        <v>309</v>
      </c>
      <c r="O35" s="8" t="s">
        <v>38</v>
      </c>
    </row>
    <row r="36" spans="2:15" x14ac:dyDescent="0.2">
      <c r="B36" s="6" t="s">
        <v>41</v>
      </c>
      <c r="C36" s="7">
        <v>251</v>
      </c>
      <c r="D36" s="12">
        <v>94660</v>
      </c>
      <c r="E36" s="12">
        <v>106744</v>
      </c>
      <c r="F36" s="9">
        <v>149663</v>
      </c>
      <c r="G36" s="9">
        <v>137731</v>
      </c>
      <c r="H36" s="7">
        <v>452</v>
      </c>
      <c r="I36" s="15">
        <v>86847</v>
      </c>
      <c r="J36" s="14">
        <v>40062</v>
      </c>
      <c r="K36" s="14">
        <v>54693</v>
      </c>
      <c r="L36" s="15">
        <v>63963</v>
      </c>
      <c r="M36" s="7">
        <v>126</v>
      </c>
      <c r="N36" s="7">
        <v>289</v>
      </c>
      <c r="O36" s="8" t="s">
        <v>38</v>
      </c>
    </row>
    <row r="37" spans="2:15" x14ac:dyDescent="0.2">
      <c r="B37" s="6" t="s">
        <v>42</v>
      </c>
      <c r="C37" s="7">
        <v>84</v>
      </c>
      <c r="D37" s="16">
        <v>153186</v>
      </c>
      <c r="E37" s="9">
        <v>129884</v>
      </c>
      <c r="F37" s="9">
        <v>134386</v>
      </c>
      <c r="G37" s="15">
        <v>79444</v>
      </c>
      <c r="H37" s="7">
        <v>642</v>
      </c>
      <c r="I37" s="15">
        <v>66083</v>
      </c>
      <c r="J37" s="15">
        <v>81264</v>
      </c>
      <c r="K37" s="15">
        <v>62328</v>
      </c>
      <c r="L37" s="12">
        <v>93988</v>
      </c>
      <c r="M37" s="7">
        <v>113</v>
      </c>
      <c r="N37" s="7">
        <v>446</v>
      </c>
      <c r="O37" s="8" t="s">
        <v>38</v>
      </c>
    </row>
    <row r="38" spans="2:15" x14ac:dyDescent="0.2">
      <c r="B38" s="6" t="s">
        <v>43</v>
      </c>
      <c r="C38" s="7">
        <v>626</v>
      </c>
      <c r="D38" s="12">
        <v>109392</v>
      </c>
      <c r="E38" s="9">
        <v>148138</v>
      </c>
      <c r="F38" s="15">
        <v>61449</v>
      </c>
      <c r="G38" s="16">
        <v>179727</v>
      </c>
      <c r="H38" s="7">
        <v>1734</v>
      </c>
      <c r="I38" s="15">
        <v>81130</v>
      </c>
      <c r="J38" s="15">
        <v>63356</v>
      </c>
      <c r="K38" s="15">
        <v>62570</v>
      </c>
      <c r="L38" s="9">
        <v>121738</v>
      </c>
      <c r="M38" s="7">
        <v>862</v>
      </c>
      <c r="N38" s="7">
        <v>244</v>
      </c>
      <c r="O38" s="8" t="s">
        <v>38</v>
      </c>
    </row>
    <row r="39" spans="2:15" x14ac:dyDescent="0.2">
      <c r="B39" s="6" t="s">
        <v>44</v>
      </c>
      <c r="C39" s="7">
        <v>907</v>
      </c>
      <c r="D39" s="17">
        <v>332294</v>
      </c>
      <c r="E39" s="18">
        <v>305198</v>
      </c>
      <c r="F39" s="19">
        <v>250380</v>
      </c>
      <c r="G39" s="18">
        <v>313053</v>
      </c>
      <c r="H39" s="7">
        <v>889</v>
      </c>
      <c r="I39" s="16">
        <v>152670</v>
      </c>
      <c r="J39" s="16">
        <v>151045</v>
      </c>
      <c r="K39" s="12">
        <v>108647</v>
      </c>
      <c r="L39" s="20">
        <v>199866</v>
      </c>
      <c r="M39" s="7">
        <v>947</v>
      </c>
      <c r="N39" s="7">
        <v>141</v>
      </c>
      <c r="O39" s="8" t="s">
        <v>38</v>
      </c>
    </row>
    <row r="40" spans="2:15" x14ac:dyDescent="0.2">
      <c r="B40" s="6" t="s">
        <v>45</v>
      </c>
      <c r="C40" s="7">
        <v>831</v>
      </c>
      <c r="D40" s="7">
        <v>601</v>
      </c>
      <c r="E40" s="7">
        <v>532</v>
      </c>
      <c r="F40" s="7">
        <v>621</v>
      </c>
      <c r="G40" s="7">
        <v>1229</v>
      </c>
      <c r="H40" s="7">
        <v>586</v>
      </c>
      <c r="I40" s="7">
        <v>191</v>
      </c>
      <c r="J40" s="7">
        <v>575</v>
      </c>
      <c r="K40" s="7">
        <v>472</v>
      </c>
      <c r="L40" s="7">
        <v>183</v>
      </c>
      <c r="M40" s="7">
        <v>106</v>
      </c>
      <c r="N40" s="7">
        <v>138</v>
      </c>
      <c r="O40" s="8" t="s">
        <v>38</v>
      </c>
    </row>
    <row r="45" spans="2:15" x14ac:dyDescent="0.2">
      <c r="D45">
        <f>AVERAGE(D34:G34)</f>
        <v>334735.5</v>
      </c>
      <c r="E45">
        <f>AVERAGE(H34:H39)</f>
        <v>743.5</v>
      </c>
      <c r="F45">
        <f>AVERAGE(I34:L34)</f>
        <v>116040.5</v>
      </c>
      <c r="G45">
        <f>D45-$E$45</f>
        <v>333992</v>
      </c>
      <c r="H45">
        <f>F45-$E$45</f>
        <v>115297</v>
      </c>
    </row>
    <row r="46" spans="2:15" x14ac:dyDescent="0.2">
      <c r="D46">
        <f t="shared" ref="D46:D50" si="0">AVERAGE(D35:G35)</f>
        <v>23978.25</v>
      </c>
      <c r="F46">
        <f t="shared" ref="F46:F50" si="1">AVERAGE(I35:L35)</f>
        <v>18805.75</v>
      </c>
      <c r="G46">
        <f t="shared" ref="G46:G50" si="2">D46-$E$45</f>
        <v>23234.75</v>
      </c>
      <c r="H46">
        <f t="shared" ref="H46:H50" si="3">F46-$E$45</f>
        <v>18062.25</v>
      </c>
    </row>
    <row r="47" spans="2:15" x14ac:dyDescent="0.2">
      <c r="D47">
        <f t="shared" si="0"/>
        <v>122199.5</v>
      </c>
      <c r="F47">
        <f t="shared" si="1"/>
        <v>61391.25</v>
      </c>
      <c r="G47">
        <f t="shared" si="2"/>
        <v>121456</v>
      </c>
      <c r="H47">
        <f t="shared" si="3"/>
        <v>60647.75</v>
      </c>
      <c r="I47" s="21">
        <f>G47/$G$47</f>
        <v>1</v>
      </c>
      <c r="J47" s="21">
        <f>H47/$H$47</f>
        <v>1</v>
      </c>
    </row>
    <row r="48" spans="2:15" x14ac:dyDescent="0.2">
      <c r="D48">
        <f t="shared" si="0"/>
        <v>124225</v>
      </c>
      <c r="F48">
        <f t="shared" si="1"/>
        <v>75915.75</v>
      </c>
      <c r="G48">
        <f t="shared" si="2"/>
        <v>123481.5</v>
      </c>
      <c r="H48">
        <f t="shared" si="3"/>
        <v>75172.25</v>
      </c>
      <c r="I48" s="21">
        <f t="shared" ref="I48:I50" si="4">G48/$G$47</f>
        <v>1.0166768212356738</v>
      </c>
      <c r="J48" s="21">
        <f t="shared" ref="J48:J50" si="5">H48/$H$47</f>
        <v>1.2394895111525159</v>
      </c>
    </row>
    <row r="49" spans="4:10" x14ac:dyDescent="0.2">
      <c r="D49">
        <f t="shared" si="0"/>
        <v>124676.5</v>
      </c>
      <c r="F49">
        <f t="shared" si="1"/>
        <v>82198.5</v>
      </c>
      <c r="G49">
        <f t="shared" si="2"/>
        <v>123933</v>
      </c>
      <c r="H49">
        <f t="shared" si="3"/>
        <v>81455</v>
      </c>
      <c r="I49" s="21">
        <f t="shared" si="4"/>
        <v>1.0203942168357265</v>
      </c>
      <c r="J49" s="21">
        <f t="shared" si="5"/>
        <v>1.3430836263505241</v>
      </c>
    </row>
    <row r="50" spans="4:10" x14ac:dyDescent="0.2">
      <c r="D50">
        <f t="shared" si="0"/>
        <v>300231.25</v>
      </c>
      <c r="F50">
        <f t="shared" si="1"/>
        <v>153057</v>
      </c>
      <c r="G50">
        <f t="shared" si="2"/>
        <v>299487.75</v>
      </c>
      <c r="H50">
        <f t="shared" si="3"/>
        <v>152313.5</v>
      </c>
      <c r="I50" s="21">
        <f t="shared" si="4"/>
        <v>2.4658127223027271</v>
      </c>
      <c r="J50" s="21">
        <f t="shared" si="5"/>
        <v>2.5114451896401762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Yana Lerner</cp:lastModifiedBy>
  <dcterms:created xsi:type="dcterms:W3CDTF">2011-01-18T20:51:17Z</dcterms:created>
  <dcterms:modified xsi:type="dcterms:W3CDTF">2026-01-25T11:40:39Z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