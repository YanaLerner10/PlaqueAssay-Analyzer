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al\Weizmann Institute Dropbox\Yana Lerner\Lab members\Yana\1.REPRORTER ASSAY\20260122_full experiment with Etai\"/>
    </mc:Choice>
  </mc:AlternateContent>
  <xr:revisionPtr revIDLastSave="0" documentId="13_ncr:1_{5C2A4236-A039-4ADA-B76C-4302D9D9AC42}" xr6:coauthVersionLast="47" xr6:coauthVersionMax="47" xr10:uidLastSave="{00000000-0000-0000-0000-000000000000}"/>
  <bookViews>
    <workbookView xWindow="-120" yWindow="-120" windowWidth="29040" windowHeight="15840" xr2:uid="{8916C063-9FBA-42AA-94A8-8BCCC7B5717C}"/>
  </bookViews>
  <sheets>
    <sheet name="Plate 5 - Sheet1" sheetId="1" r:id="rId1"/>
  </sheets>
  <definedNames>
    <definedName name="MethodPointer1">1623894272</definedName>
    <definedName name="MethodPointer2">527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J48" i="1"/>
  <c r="J49" i="1"/>
  <c r="J46" i="1"/>
  <c r="I47" i="1"/>
  <c r="I48" i="1"/>
  <c r="I49" i="1"/>
  <c r="I46" i="1"/>
  <c r="H44" i="1"/>
  <c r="H45" i="1"/>
  <c r="H46" i="1"/>
  <c r="H47" i="1"/>
  <c r="H48" i="1"/>
  <c r="H49" i="1"/>
  <c r="G45" i="1"/>
  <c r="G46" i="1"/>
  <c r="G47" i="1"/>
  <c r="G48" i="1"/>
  <c r="G49" i="1"/>
  <c r="G44" i="1"/>
  <c r="E45" i="1"/>
  <c r="E46" i="1"/>
  <c r="E47" i="1"/>
  <c r="E48" i="1"/>
  <c r="E49" i="1"/>
  <c r="E44" i="1"/>
  <c r="C44" i="1"/>
  <c r="D45" i="1"/>
  <c r="D46" i="1"/>
  <c r="D47" i="1"/>
  <c r="D48" i="1"/>
  <c r="D49" i="1"/>
  <c r="D44" i="1"/>
</calcChain>
</file>

<file path=xl/sharedStrings.xml><?xml version="1.0" encoding="utf-8"?>
<sst xmlns="http://schemas.openxmlformats.org/spreadsheetml/2006/main" count="53" uniqueCount="46">
  <si>
    <t>Software Version</t>
  </si>
  <si>
    <t>3.10.06</t>
  </si>
  <si>
    <t>Experiment File Path:</t>
  </si>
  <si>
    <t>C:\Users\Lauflab\Desktop\Synergy experiments\lumine_260122_144358.xpt</t>
  </si>
  <si>
    <t>Protocol File Path:</t>
  </si>
  <si>
    <t>C:\Users\Public\Documents\Protocols\lumine.prt</t>
  </si>
  <si>
    <t>Plate Number</t>
  </si>
  <si>
    <t>Plate 5</t>
  </si>
  <si>
    <t>Date</t>
  </si>
  <si>
    <t>Time</t>
  </si>
  <si>
    <t>Reader Type:</t>
  </si>
  <si>
    <t>Synergy H1</t>
  </si>
  <si>
    <t>Reader Serial Number:</t>
  </si>
  <si>
    <t>2202013B</t>
  </si>
  <si>
    <t>Reading Type</t>
  </si>
  <si>
    <t>Reader</t>
  </si>
  <si>
    <t>Procedure Details</t>
  </si>
  <si>
    <t>Plate Type</t>
  </si>
  <si>
    <t>Costar 96 white opaque (Use plate lid)</t>
  </si>
  <si>
    <t>Eject plate on completion</t>
  </si>
  <si>
    <t>Shake</t>
  </si>
  <si>
    <t>Orbital: 0:05 (MM:SS)</t>
  </si>
  <si>
    <t>Frequency: 282 cpm (3 mm)</t>
  </si>
  <si>
    <t>Set Temperature</t>
  </si>
  <si>
    <t>Setpoint 22°C</t>
  </si>
  <si>
    <t>Read</t>
  </si>
  <si>
    <t>Luminescence Endpoint</t>
  </si>
  <si>
    <t>Full Plate</t>
  </si>
  <si>
    <t>Integration Time: 0:01.00 (MM:SS.ss)</t>
  </si>
  <si>
    <t>Filter Set 1</t>
  </si>
  <si>
    <t xml:space="preserve">    Emission: Full light</t>
  </si>
  <si>
    <t xml:space="preserve">    Optics: Top,  Gain: 255</t>
  </si>
  <si>
    <t>Read Speed: Normal,  Delay: 100 msec</t>
  </si>
  <si>
    <t>Extended Dynamic Range</t>
  </si>
  <si>
    <t>Read Height: (auto)</t>
  </si>
  <si>
    <t>Results</t>
  </si>
  <si>
    <t>Actual Temperature:</t>
  </si>
  <si>
    <t>A</t>
  </si>
  <si>
    <t>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</si>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</sst>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653C2-9332-44F6-8A59-7A9E61B64FCC}">
  <dimension ref="A2:O49"/>
  <sheetViews>
    <sheetView tabSelected="1" topLeftCell="A10" workbookViewId="0">
      <selection activeCell="C44" sqref="C44:J49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46044</v>
      </c>
    </row>
    <row r="8" spans="1:2" x14ac:dyDescent="0.2">
      <c r="A8" t="s">
        <v>9</v>
      </c>
      <c r="B8" s="2">
        <v>0.64769675925925929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4" x14ac:dyDescent="0.2">
      <c r="B17" t="s">
        <v>22</v>
      </c>
    </row>
    <row r="18" spans="1:14" x14ac:dyDescent="0.2">
      <c r="A18" t="s">
        <v>23</v>
      </c>
      <c r="B18" t="s">
        <v>24</v>
      </c>
    </row>
    <row r="19" spans="1:14" x14ac:dyDescent="0.2">
      <c r="A19" t="s">
        <v>25</v>
      </c>
      <c r="B19" t="s">
        <v>26</v>
      </c>
    </row>
    <row r="20" spans="1:14" x14ac:dyDescent="0.2">
      <c r="B20" t="s">
        <v>27</v>
      </c>
    </row>
    <row r="21" spans="1:14" x14ac:dyDescent="0.2">
      <c r="B21" t="s">
        <v>28</v>
      </c>
    </row>
    <row r="22" spans="1:14" x14ac:dyDescent="0.2">
      <c r="B22" t="s">
        <v>29</v>
      </c>
    </row>
    <row r="23" spans="1:14" x14ac:dyDescent="0.2">
      <c r="B23" t="s">
        <v>30</v>
      </c>
    </row>
    <row r="24" spans="1:14" x14ac:dyDescent="0.2">
      <c r="B24" t="s">
        <v>31</v>
      </c>
    </row>
    <row r="25" spans="1:14" x14ac:dyDescent="0.2">
      <c r="B25" t="s">
        <v>32</v>
      </c>
    </row>
    <row r="26" spans="1:14" x14ac:dyDescent="0.2">
      <c r="B26" t="s">
        <v>33</v>
      </c>
    </row>
    <row r="27" spans="1:14" x14ac:dyDescent="0.2">
      <c r="B27" t="s">
        <v>34</v>
      </c>
    </row>
    <row r="29" spans="1:14" x14ac:dyDescent="0.2">
      <c r="A29" s="3" t="s">
        <v>35</v>
      </c>
      <c r="B29" s="4"/>
    </row>
    <row r="30" spans="1:14" x14ac:dyDescent="0.2">
      <c r="A30" t="s">
        <v>36</v>
      </c>
      <c r="B30">
        <v>23.5</v>
      </c>
    </row>
    <row r="32" spans="1:14" x14ac:dyDescent="0.2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2:15" x14ac:dyDescent="0.2">
      <c r="B33" s="6" t="s">
        <v>37</v>
      </c>
      <c r="C33" s="7">
        <v>1221</v>
      </c>
      <c r="D33" s="7">
        <v>151</v>
      </c>
      <c r="E33" s="7">
        <v>690</v>
      </c>
      <c r="F33" s="7">
        <v>236</v>
      </c>
      <c r="G33" s="7">
        <v>341</v>
      </c>
      <c r="H33" s="7">
        <v>297</v>
      </c>
      <c r="I33" s="7">
        <v>358</v>
      </c>
      <c r="J33" s="7">
        <v>273</v>
      </c>
      <c r="K33" s="7">
        <v>982</v>
      </c>
      <c r="L33" s="7">
        <v>1133</v>
      </c>
      <c r="M33" s="7">
        <v>17</v>
      </c>
      <c r="N33" s="7">
        <v>286</v>
      </c>
      <c r="O33" s="8" t="s">
        <v>38</v>
      </c>
    </row>
    <row r="34" spans="2:15" x14ac:dyDescent="0.2">
      <c r="B34" s="6" t="s">
        <v>39</v>
      </c>
      <c r="C34" s="7">
        <v>162</v>
      </c>
      <c r="D34" s="9">
        <v>83001</v>
      </c>
      <c r="E34" s="10">
        <v>310330</v>
      </c>
      <c r="F34" s="11">
        <v>180811</v>
      </c>
      <c r="G34" s="12">
        <v>266817</v>
      </c>
      <c r="H34" s="7">
        <v>408</v>
      </c>
      <c r="I34" s="7">
        <v>15707</v>
      </c>
      <c r="J34" s="13">
        <v>96971</v>
      </c>
      <c r="K34" s="14">
        <v>146001</v>
      </c>
      <c r="L34" s="15">
        <v>170179</v>
      </c>
      <c r="M34" s="7">
        <v>714</v>
      </c>
      <c r="N34" s="7">
        <v>252</v>
      </c>
      <c r="O34" s="8" t="s">
        <v>38</v>
      </c>
    </row>
    <row r="35" spans="2:15" x14ac:dyDescent="0.2">
      <c r="B35" s="6" t="s">
        <v>40</v>
      </c>
      <c r="C35" s="7">
        <v>457</v>
      </c>
      <c r="D35" s="7">
        <v>11245</v>
      </c>
      <c r="E35" s="7">
        <v>12319</v>
      </c>
      <c r="F35" s="7">
        <v>22107</v>
      </c>
      <c r="G35" s="16">
        <v>36027</v>
      </c>
      <c r="H35" s="7">
        <v>559</v>
      </c>
      <c r="I35" s="7">
        <v>13266</v>
      </c>
      <c r="J35" s="7">
        <v>8444</v>
      </c>
      <c r="K35" s="7">
        <v>11795</v>
      </c>
      <c r="L35" s="16">
        <v>26301</v>
      </c>
      <c r="M35" s="7">
        <v>153</v>
      </c>
      <c r="N35" s="7">
        <v>128</v>
      </c>
      <c r="O35" s="8" t="s">
        <v>38</v>
      </c>
    </row>
    <row r="36" spans="2:15" x14ac:dyDescent="0.2">
      <c r="B36" s="6" t="s">
        <v>41</v>
      </c>
      <c r="C36" s="7">
        <v>348</v>
      </c>
      <c r="D36" s="13">
        <v>95070</v>
      </c>
      <c r="E36" s="9">
        <v>76776</v>
      </c>
      <c r="F36" s="17">
        <v>121495</v>
      </c>
      <c r="G36" s="13">
        <v>92640</v>
      </c>
      <c r="H36" s="7">
        <v>366</v>
      </c>
      <c r="I36" s="9">
        <v>87227</v>
      </c>
      <c r="J36" s="18">
        <v>51378</v>
      </c>
      <c r="K36" s="16">
        <v>43484</v>
      </c>
      <c r="L36" s="18">
        <v>56321</v>
      </c>
      <c r="M36" s="7">
        <v>67</v>
      </c>
      <c r="N36" s="7">
        <v>389</v>
      </c>
      <c r="O36" s="8" t="s">
        <v>38</v>
      </c>
    </row>
    <row r="37" spans="2:15" x14ac:dyDescent="0.2">
      <c r="B37" s="6" t="s">
        <v>42</v>
      </c>
      <c r="C37" s="7">
        <v>564</v>
      </c>
      <c r="D37" s="15">
        <v>163725</v>
      </c>
      <c r="E37" s="17">
        <v>111078</v>
      </c>
      <c r="F37" s="13">
        <v>104550</v>
      </c>
      <c r="G37" s="9">
        <v>74172</v>
      </c>
      <c r="H37" s="7">
        <v>359</v>
      </c>
      <c r="I37" s="18">
        <v>65223</v>
      </c>
      <c r="J37" s="9">
        <v>77150</v>
      </c>
      <c r="K37" s="18">
        <v>53695</v>
      </c>
      <c r="L37" s="9">
        <v>71932</v>
      </c>
      <c r="M37" s="7">
        <v>270</v>
      </c>
      <c r="N37" s="7">
        <v>118</v>
      </c>
      <c r="O37" s="8" t="s">
        <v>38</v>
      </c>
    </row>
    <row r="38" spans="2:15" x14ac:dyDescent="0.2">
      <c r="B38" s="6" t="s">
        <v>43</v>
      </c>
      <c r="C38" s="7">
        <v>193</v>
      </c>
      <c r="D38" s="9">
        <v>78024</v>
      </c>
      <c r="E38" s="13">
        <v>102732</v>
      </c>
      <c r="F38" s="18">
        <v>50082</v>
      </c>
      <c r="G38" s="13">
        <v>105314</v>
      </c>
      <c r="H38" s="7">
        <v>1116</v>
      </c>
      <c r="I38" s="9">
        <v>70309</v>
      </c>
      <c r="J38" s="18">
        <v>62090</v>
      </c>
      <c r="K38" s="18">
        <v>64797</v>
      </c>
      <c r="L38" s="14">
        <v>145896</v>
      </c>
      <c r="M38" s="7">
        <v>120</v>
      </c>
      <c r="N38" s="7">
        <v>135</v>
      </c>
      <c r="O38" s="8" t="s">
        <v>38</v>
      </c>
    </row>
    <row r="39" spans="2:15" x14ac:dyDescent="0.2">
      <c r="B39" s="6" t="s">
        <v>44</v>
      </c>
      <c r="C39" s="7">
        <v>225</v>
      </c>
      <c r="D39" s="12">
        <v>269124</v>
      </c>
      <c r="E39" s="19">
        <v>220469</v>
      </c>
      <c r="F39" s="11">
        <v>185392</v>
      </c>
      <c r="G39" s="20">
        <v>225556</v>
      </c>
      <c r="H39" s="7">
        <v>897</v>
      </c>
      <c r="I39" s="14">
        <v>144525</v>
      </c>
      <c r="J39" s="17">
        <v>118643</v>
      </c>
      <c r="K39" s="17">
        <v>114123</v>
      </c>
      <c r="L39" s="19">
        <v>203007</v>
      </c>
      <c r="M39" s="7">
        <v>316</v>
      </c>
      <c r="N39" s="7">
        <v>174</v>
      </c>
      <c r="O39" s="8" t="s">
        <v>38</v>
      </c>
    </row>
    <row r="40" spans="2:15" x14ac:dyDescent="0.2">
      <c r="B40" s="6" t="s">
        <v>45</v>
      </c>
      <c r="C40" s="7">
        <v>129</v>
      </c>
      <c r="D40" s="7">
        <v>366</v>
      </c>
      <c r="E40" s="7">
        <v>385</v>
      </c>
      <c r="F40" s="7">
        <v>1199</v>
      </c>
      <c r="G40" s="7">
        <v>614</v>
      </c>
      <c r="H40" s="7">
        <v>371</v>
      </c>
      <c r="I40" s="7">
        <v>562</v>
      </c>
      <c r="J40" s="7">
        <v>831</v>
      </c>
      <c r="K40" s="7">
        <v>949</v>
      </c>
      <c r="L40" s="7">
        <v>770</v>
      </c>
      <c r="M40" s="7">
        <v>408</v>
      </c>
      <c r="N40" s="7">
        <v>565</v>
      </c>
      <c r="O40" s="8" t="s">
        <v>38</v>
      </c>
    </row>
    <row r="44" spans="2:15" x14ac:dyDescent="0.2">
      <c r="C44">
        <f>AVERAGE(H34:H39)</f>
        <v>617.5</v>
      </c>
      <c r="D44">
        <f>AVERAGE(D34:G34)</f>
        <v>210239.75</v>
      </c>
      <c r="E44">
        <f>AVERAGE(I34:L34)</f>
        <v>107214.5</v>
      </c>
      <c r="G44">
        <f>D44-$C$44</f>
        <v>209622.25</v>
      </c>
      <c r="H44">
        <f>E44-$C$44</f>
        <v>106597</v>
      </c>
    </row>
    <row r="45" spans="2:15" x14ac:dyDescent="0.2">
      <c r="D45">
        <f t="shared" ref="D45:D49" si="0">AVERAGE(D35:G35)</f>
        <v>20424.5</v>
      </c>
      <c r="E45">
        <f>AVERAGE(I35:L35)</f>
        <v>14951.5</v>
      </c>
      <c r="G45">
        <f>D45-$C$44</f>
        <v>19807</v>
      </c>
      <c r="H45">
        <f>E45-$C$44</f>
        <v>14334</v>
      </c>
    </row>
    <row r="46" spans="2:15" x14ac:dyDescent="0.2">
      <c r="D46">
        <f t="shared" si="0"/>
        <v>96495.25</v>
      </c>
      <c r="E46">
        <f>AVERAGE(I36:L36)</f>
        <v>59602.5</v>
      </c>
      <c r="G46">
        <f>D46-$C$44</f>
        <v>95877.75</v>
      </c>
      <c r="H46">
        <f>E46-$C$44</f>
        <v>58985</v>
      </c>
      <c r="I46">
        <f>G46/$G$46</f>
        <v>1</v>
      </c>
      <c r="J46">
        <f>H46/$H$46</f>
        <v>1</v>
      </c>
    </row>
    <row r="47" spans="2:15" x14ac:dyDescent="0.2">
      <c r="D47">
        <f t="shared" si="0"/>
        <v>113381.25</v>
      </c>
      <c r="E47">
        <f>AVERAGE(I37:L37)</f>
        <v>67000</v>
      </c>
      <c r="G47">
        <f>D47-$C$44</f>
        <v>112763.75</v>
      </c>
      <c r="H47">
        <f>E47-$C$44</f>
        <v>66382.5</v>
      </c>
      <c r="I47">
        <f>G47/$G$46</f>
        <v>1.176120111287551</v>
      </c>
      <c r="J47">
        <f>H47/$H$46</f>
        <v>1.1254132406544037</v>
      </c>
    </row>
    <row r="48" spans="2:15" x14ac:dyDescent="0.2">
      <c r="D48">
        <f t="shared" si="0"/>
        <v>84038</v>
      </c>
      <c r="E48">
        <f>AVERAGE(I38:L38)</f>
        <v>85773</v>
      </c>
      <c r="G48">
        <f>D48-$C$44</f>
        <v>83420.5</v>
      </c>
      <c r="H48">
        <f>E48-$C$44</f>
        <v>85155.5</v>
      </c>
      <c r="I48">
        <f>G48/$G$46</f>
        <v>0.87007152337221094</v>
      </c>
      <c r="J48">
        <f>H48/$H$46</f>
        <v>1.4436805967618886</v>
      </c>
    </row>
    <row r="49" spans="4:10" x14ac:dyDescent="0.2">
      <c r="D49">
        <f t="shared" si="0"/>
        <v>225135.25</v>
      </c>
      <c r="E49">
        <f>AVERAGE(I39:L39)</f>
        <v>145074.5</v>
      </c>
      <c r="G49">
        <f>D49-$C$44</f>
        <v>224517.75</v>
      </c>
      <c r="H49">
        <f>E49-$C$44</f>
        <v>144457</v>
      </c>
      <c r="I49">
        <f>G49/$G$46</f>
        <v>2.3417085820224193</v>
      </c>
      <c r="J49">
        <f>H49/$H$46</f>
        <v>2.4490463677206069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5 -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Lauflab</dc:creator>
  <cp:lastModifiedBy>Yana Lerner</cp:lastModifiedBy>
  <dcterms:created xsi:type="dcterms:W3CDTF">2011-01-18T20:51:17Z</dcterms:created>
  <dcterms:modified xsi:type="dcterms:W3CDTF">2026-01-25T08:00:03Z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