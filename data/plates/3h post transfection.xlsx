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al\Weizmann Institute Dropbox\Yana Lerner\Lab members\Yana\1.REPRORTER ASSAY\20260122_full experiment with Etai\"/>
    </mc:Choice>
  </mc:AlternateContent>
  <xr:revisionPtr revIDLastSave="0" documentId="13_ncr:1_{9B418110-CAAD-4B81-8F10-D26CBEFD8A02}" xr6:coauthVersionLast="47" xr6:coauthVersionMax="47" xr10:uidLastSave="{00000000-0000-0000-0000-000000000000}"/>
  <bookViews>
    <workbookView xWindow="0" yWindow="300" windowWidth="29040" windowHeight="15840" xr2:uid="{1EA7BECB-D51A-4FA1-A013-AF5088391BF9}"/>
  </bookViews>
  <sheets>
    <sheet name="Plate 2 - Sheet1" sheetId="1" r:id="rId1"/>
  </sheets>
  <definedNames>
    <definedName name="MethodPointer1">1623894272</definedName>
    <definedName name="MethodPointer2">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H48" i="1"/>
  <c r="H49" i="1"/>
  <c r="I47" i="1"/>
  <c r="I48" i="1"/>
  <c r="I49" i="1"/>
  <c r="I46" i="1"/>
  <c r="H46" i="1"/>
  <c r="G45" i="1"/>
  <c r="G46" i="1"/>
  <c r="G47" i="1"/>
  <c r="G48" i="1"/>
  <c r="G49" i="1"/>
  <c r="G44" i="1"/>
  <c r="F45" i="1"/>
  <c r="F46" i="1"/>
  <c r="F47" i="1"/>
  <c r="F48" i="1"/>
  <c r="F49" i="1"/>
  <c r="F44" i="1"/>
  <c r="E45" i="1"/>
  <c r="E46" i="1"/>
  <c r="E47" i="1"/>
  <c r="E48" i="1"/>
  <c r="E49" i="1"/>
  <c r="E44" i="1"/>
</calcChain>
</file>

<file path=xl/sharedStrings.xml><?xml version="1.0" encoding="utf-8"?>
<sst xmlns="http://schemas.openxmlformats.org/spreadsheetml/2006/main" count="60" uniqueCount="52">
  <si>
    <t>Software Version</t>
  </si>
  <si>
    <t>3.10.06</t>
  </si>
  <si>
    <t>Experiment File Path:</t>
  </si>
  <si>
    <t>C:\Users\Lauflab\Desktop\Synergy experiments\lumine_260122_144358.xpt</t>
  </si>
  <si>
    <t>Protocol File Path:</t>
  </si>
  <si>
    <t>C:\Users\Public\Documents\Protocols\lumine.prt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</si>
  <si>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</si>
  <si>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</si>
  <si>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</si>
  <si>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</si>
  <si>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</si>
  <si>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</si>
  <si>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</si>
  <si>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2202013B</t>
  </si>
  <si>
    <t>Reading Type</t>
  </si>
  <si>
    <t>Reader</t>
  </si>
  <si>
    <t>Procedure Details</t>
  </si>
  <si>
    <t>Plate Type</t>
  </si>
  <si>
    <t>Costar 96 white opaque (Use plate lid)</t>
  </si>
  <si>
    <t>Eject plate on completion</t>
  </si>
  <si>
    <t>Shake</t>
  </si>
  <si>
    <t>Orbital: 0:05 (MM:SS)</t>
  </si>
  <si>
    <t>Frequency: 282 cpm (3 mm)</t>
  </si>
  <si>
    <t>Set Temperature</t>
  </si>
  <si>
    <t>Setpoint 22°C</t>
  </si>
  <si>
    <t>Read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</si>
  <si>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</si>
  <si>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</si>
  <si>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</si>
  <si>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</si>
  <si>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</si>
  <si>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255</t>
  </si>
  <si>
    <t>Read Speed: Normal,  Delay: 100 msec</t>
  </si>
  <si>
    <t>Extended Dynamic Range</t>
  </si>
  <si>
    <t>Read Height: (auto)</t>
  </si>
  <si>
    <t>Results</t>
  </si>
  <si>
    <t>Actual Temperature:</t>
  </si>
  <si>
    <t>A</t>
  </si>
  <si>
    <t>Lum</t>
  </si>
  <si>
    <t>B</t>
  </si>
  <si>
    <t>C</t>
  </si>
  <si>
    <t>D</t>
  </si>
  <si>
    <t>E</t>
  </si>
  <si>
    <t>F</t>
  </si>
  <si>
    <t>G</t>
  </si>
  <si>
    <t>H</t>
  </si>
  <si>
    <t>blank</t>
  </si>
  <si>
    <t>nt</t>
  </si>
  <si>
    <t>xpo1</t>
  </si>
  <si>
    <t>ciao</t>
  </si>
  <si>
    <t>fam</t>
  </si>
  <si>
    <t>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</si>
</sst>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C264-C167-4128-9C95-9EAD5A78D015}">
  <dimension ref="A2:O49"/>
  <sheetViews>
    <sheetView tabSelected="1" topLeftCell="A16" workbookViewId="0">
      <selection activeCell="G55" sqref="G5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46044</v>
      </c>
    </row>
    <row r="8" spans="1:2" x14ac:dyDescent="0.2">
      <c r="A8" t="s">
        <v>9</v>
      </c>
      <c r="B8" s="2">
        <v>0.61608796296296298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4" x14ac:dyDescent="0.2">
      <c r="B17" t="s">
        <v>22</v>
      </c>
    </row>
    <row r="18" spans="1:14" x14ac:dyDescent="0.2">
      <c r="A18" t="s">
        <v>23</v>
      </c>
      <c r="B18" t="s">
        <v>24</v>
      </c>
    </row>
    <row r="19" spans="1:14" x14ac:dyDescent="0.2">
      <c r="A19" t="s">
        <v>25</v>
      </c>
      <c r="B19" t="s">
        <v>26</v>
      </c>
    </row>
    <row r="20" spans="1:14" x14ac:dyDescent="0.2">
      <c r="B20" t="s">
        <v>27</v>
      </c>
    </row>
    <row r="21" spans="1:14" x14ac:dyDescent="0.2">
      <c r="B21" t="s">
        <v>28</v>
      </c>
    </row>
    <row r="22" spans="1:14" x14ac:dyDescent="0.2">
      <c r="B22" t="s">
        <v>29</v>
      </c>
    </row>
    <row r="23" spans="1:14" x14ac:dyDescent="0.2">
      <c r="B23" t="s">
        <v>30</v>
      </c>
    </row>
    <row r="24" spans="1:14" x14ac:dyDescent="0.2">
      <c r="B24" t="s">
        <v>31</v>
      </c>
    </row>
    <row r="25" spans="1:14" x14ac:dyDescent="0.2">
      <c r="B25" t="s">
        <v>32</v>
      </c>
    </row>
    <row r="26" spans="1:14" x14ac:dyDescent="0.2">
      <c r="B26" t="s">
        <v>33</v>
      </c>
    </row>
    <row r="27" spans="1:14" x14ac:dyDescent="0.2">
      <c r="B27" t="s">
        <v>34</v>
      </c>
    </row>
    <row r="29" spans="1:14" x14ac:dyDescent="0.2">
      <c r="A29" s="3" t="s">
        <v>35</v>
      </c>
      <c r="B29" s="4"/>
    </row>
    <row r="30" spans="1:14" x14ac:dyDescent="0.2">
      <c r="A30" t="s">
        <v>36</v>
      </c>
      <c r="B30">
        <v>23.5</v>
      </c>
    </row>
    <row r="32" spans="1:14" x14ac:dyDescent="0.2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x14ac:dyDescent="0.2">
      <c r="B33" s="6" t="s">
        <v>37</v>
      </c>
      <c r="C33" s="7">
        <v>1706</v>
      </c>
      <c r="D33" s="7">
        <v>691</v>
      </c>
      <c r="E33" s="7">
        <v>2459</v>
      </c>
      <c r="F33" s="7">
        <v>207</v>
      </c>
      <c r="G33" s="7">
        <v>620</v>
      </c>
      <c r="H33" s="7">
        <v>316</v>
      </c>
      <c r="I33" s="7">
        <v>217</v>
      </c>
      <c r="J33" s="7">
        <v>338</v>
      </c>
      <c r="K33" s="7">
        <v>755</v>
      </c>
      <c r="L33" s="7">
        <v>435</v>
      </c>
      <c r="M33" s="7">
        <v>153</v>
      </c>
      <c r="N33" s="7">
        <v>112</v>
      </c>
      <c r="O33" s="8" t="s">
        <v>38</v>
      </c>
    </row>
    <row r="34" spans="2:15" x14ac:dyDescent="0.2">
      <c r="B34" s="6" t="s">
        <v>39</v>
      </c>
      <c r="C34" s="7">
        <v>416</v>
      </c>
      <c r="D34" s="9">
        <v>87929</v>
      </c>
      <c r="E34" s="10">
        <v>201202</v>
      </c>
      <c r="F34" s="11">
        <v>143355</v>
      </c>
      <c r="G34" s="12">
        <v>255872</v>
      </c>
      <c r="H34" s="7">
        <v>266</v>
      </c>
      <c r="I34" s="7">
        <v>15931</v>
      </c>
      <c r="J34" s="13">
        <v>104286</v>
      </c>
      <c r="K34" s="14">
        <v>110630</v>
      </c>
      <c r="L34" s="15">
        <v>152491</v>
      </c>
      <c r="M34" s="7">
        <v>254</v>
      </c>
      <c r="N34" s="7">
        <v>370</v>
      </c>
      <c r="O34" s="8" t="s">
        <v>38</v>
      </c>
    </row>
    <row r="35" spans="2:15" x14ac:dyDescent="0.2">
      <c r="B35" s="6" t="s">
        <v>40</v>
      </c>
      <c r="C35" s="7">
        <v>337</v>
      </c>
      <c r="D35" s="7">
        <v>7798</v>
      </c>
      <c r="E35" s="7">
        <v>4582</v>
      </c>
      <c r="F35" s="7">
        <v>17562</v>
      </c>
      <c r="G35" s="16">
        <v>21890</v>
      </c>
      <c r="H35" s="7">
        <v>1567</v>
      </c>
      <c r="I35" s="7">
        <v>12620</v>
      </c>
      <c r="J35" s="7">
        <v>10338</v>
      </c>
      <c r="K35" s="7">
        <v>12788</v>
      </c>
      <c r="L35" s="16">
        <v>20999</v>
      </c>
      <c r="M35" s="7">
        <v>83</v>
      </c>
      <c r="N35" s="7">
        <v>168</v>
      </c>
      <c r="O35" s="8" t="s">
        <v>38</v>
      </c>
    </row>
    <row r="36" spans="2:15" x14ac:dyDescent="0.2">
      <c r="B36" s="6" t="s">
        <v>41</v>
      </c>
      <c r="C36" s="7">
        <v>681</v>
      </c>
      <c r="D36" s="9">
        <v>80231</v>
      </c>
      <c r="E36" s="17">
        <v>55411</v>
      </c>
      <c r="F36" s="9">
        <v>78879</v>
      </c>
      <c r="G36" s="9">
        <v>74133</v>
      </c>
      <c r="H36" s="7">
        <v>39</v>
      </c>
      <c r="I36" s="17">
        <v>58589</v>
      </c>
      <c r="J36" s="16">
        <v>32264</v>
      </c>
      <c r="K36" s="16">
        <v>35094</v>
      </c>
      <c r="L36" s="18">
        <v>47688</v>
      </c>
      <c r="M36" s="7">
        <v>561</v>
      </c>
      <c r="N36" s="7">
        <v>41</v>
      </c>
      <c r="O36" s="8" t="s">
        <v>38</v>
      </c>
    </row>
    <row r="37" spans="2:15" x14ac:dyDescent="0.2">
      <c r="B37" s="6" t="s">
        <v>42</v>
      </c>
      <c r="C37" s="7">
        <v>137</v>
      </c>
      <c r="D37" s="13">
        <v>107399</v>
      </c>
      <c r="E37" s="9">
        <v>80558</v>
      </c>
      <c r="F37" s="17">
        <v>64282</v>
      </c>
      <c r="G37" s="17">
        <v>56374</v>
      </c>
      <c r="H37" s="7">
        <v>753</v>
      </c>
      <c r="I37" s="17">
        <v>57544</v>
      </c>
      <c r="J37" s="17">
        <v>57073</v>
      </c>
      <c r="K37" s="17">
        <v>58703</v>
      </c>
      <c r="L37" s="17">
        <v>72056</v>
      </c>
      <c r="M37" s="7">
        <v>217</v>
      </c>
      <c r="N37" s="7">
        <v>338</v>
      </c>
      <c r="O37" s="8" t="s">
        <v>38</v>
      </c>
    </row>
    <row r="38" spans="2:15" x14ac:dyDescent="0.2">
      <c r="B38" s="6" t="s">
        <v>43</v>
      </c>
      <c r="C38" s="7">
        <v>660</v>
      </c>
      <c r="D38" s="9">
        <v>78563</v>
      </c>
      <c r="E38" s="9">
        <v>73368</v>
      </c>
      <c r="F38" s="18">
        <v>39741</v>
      </c>
      <c r="G38" s="14">
        <v>112678</v>
      </c>
      <c r="H38" s="7">
        <v>391</v>
      </c>
      <c r="I38" s="18">
        <v>51077</v>
      </c>
      <c r="J38" s="18">
        <v>53632</v>
      </c>
      <c r="K38" s="18">
        <v>46560</v>
      </c>
      <c r="L38" s="13">
        <v>94611</v>
      </c>
      <c r="M38" s="7">
        <v>742</v>
      </c>
      <c r="N38" s="7">
        <v>147</v>
      </c>
      <c r="O38" s="8" t="s">
        <v>38</v>
      </c>
    </row>
    <row r="39" spans="2:15" x14ac:dyDescent="0.2">
      <c r="B39" s="6" t="s">
        <v>44</v>
      </c>
      <c r="C39" s="7">
        <v>1659</v>
      </c>
      <c r="D39" s="19">
        <v>173891</v>
      </c>
      <c r="E39" s="19">
        <v>182503</v>
      </c>
      <c r="F39" s="11">
        <v>133141</v>
      </c>
      <c r="G39" s="11">
        <v>142948</v>
      </c>
      <c r="H39" s="7">
        <v>394</v>
      </c>
      <c r="I39" s="13">
        <v>101997</v>
      </c>
      <c r="J39" s="9">
        <v>79653</v>
      </c>
      <c r="K39" s="9">
        <v>84145</v>
      </c>
      <c r="L39" s="11">
        <v>140493</v>
      </c>
      <c r="M39" s="7">
        <v>1103</v>
      </c>
      <c r="N39" s="7">
        <v>207</v>
      </c>
      <c r="O39" s="8" t="s">
        <v>38</v>
      </c>
    </row>
    <row r="40" spans="2:15" x14ac:dyDescent="0.2">
      <c r="B40" s="6" t="s">
        <v>45</v>
      </c>
      <c r="C40" s="7">
        <v>288</v>
      </c>
      <c r="D40" s="7">
        <v>1328</v>
      </c>
      <c r="E40" s="7">
        <v>589</v>
      </c>
      <c r="F40" s="7">
        <v>244</v>
      </c>
      <c r="G40" s="7">
        <v>552</v>
      </c>
      <c r="H40" s="7">
        <v>591</v>
      </c>
      <c r="I40" s="7">
        <v>233</v>
      </c>
      <c r="J40" s="7">
        <v>219</v>
      </c>
      <c r="K40" s="7">
        <v>1113</v>
      </c>
      <c r="L40" s="7">
        <v>507</v>
      </c>
      <c r="M40" s="7">
        <v>525</v>
      </c>
      <c r="N40" s="7">
        <v>717</v>
      </c>
      <c r="O40" s="8" t="s">
        <v>38</v>
      </c>
    </row>
    <row r="43" spans="2:15" x14ac:dyDescent="0.2">
      <c r="G43" t="s">
        <v>46</v>
      </c>
    </row>
    <row r="44" spans="2:15" x14ac:dyDescent="0.2">
      <c r="D44" t="s">
        <v>47</v>
      </c>
      <c r="E44">
        <f>AVERAGE(D34:G34)</f>
        <v>172089.5</v>
      </c>
      <c r="F44">
        <f>AVERAGE(I34:L34)</f>
        <v>95834.5</v>
      </c>
      <c r="G44">
        <f>H34</f>
        <v>266</v>
      </c>
    </row>
    <row r="45" spans="2:15" x14ac:dyDescent="0.2">
      <c r="D45" t="s">
        <v>48</v>
      </c>
      <c r="E45">
        <f t="shared" ref="E45:E49" si="0">AVERAGE(D35:G35)</f>
        <v>12958</v>
      </c>
      <c r="F45">
        <f t="shared" ref="F45:F49" si="1">AVERAGE(I35:L35)</f>
        <v>14186.25</v>
      </c>
      <c r="G45">
        <f t="shared" ref="G45:G49" si="2">H35</f>
        <v>1567</v>
      </c>
    </row>
    <row r="46" spans="2:15" x14ac:dyDescent="0.2">
      <c r="D46" t="s">
        <v>47</v>
      </c>
      <c r="E46">
        <f t="shared" si="0"/>
        <v>72163.5</v>
      </c>
      <c r="F46">
        <f t="shared" si="1"/>
        <v>43408.75</v>
      </c>
      <c r="G46">
        <f t="shared" si="2"/>
        <v>39</v>
      </c>
      <c r="H46">
        <f>E46/$E$46</f>
        <v>1</v>
      </c>
      <c r="I46">
        <f>F46/$F$46</f>
        <v>1</v>
      </c>
    </row>
    <row r="47" spans="2:15" x14ac:dyDescent="0.2">
      <c r="D47" t="s">
        <v>49</v>
      </c>
      <c r="E47">
        <f t="shared" si="0"/>
        <v>77153.25</v>
      </c>
      <c r="F47">
        <f t="shared" si="1"/>
        <v>61344</v>
      </c>
      <c r="G47">
        <f t="shared" si="2"/>
        <v>753</v>
      </c>
      <c r="H47">
        <f t="shared" ref="H47:H49" si="3">E47/$E$46</f>
        <v>1.0691450664116902</v>
      </c>
      <c r="I47">
        <f t="shared" ref="I47:I49" si="4">F47/$F$46</f>
        <v>1.4131713076280703</v>
      </c>
    </row>
    <row r="48" spans="2:15" x14ac:dyDescent="0.2">
      <c r="D48" t="s">
        <v>50</v>
      </c>
      <c r="E48">
        <f t="shared" si="0"/>
        <v>76087.5</v>
      </c>
      <c r="F48">
        <f t="shared" si="1"/>
        <v>61470</v>
      </c>
      <c r="G48">
        <f t="shared" si="2"/>
        <v>391</v>
      </c>
      <c r="H48">
        <f t="shared" si="3"/>
        <v>1.0543765199858655</v>
      </c>
      <c r="I48">
        <f t="shared" si="4"/>
        <v>1.4160739482247242</v>
      </c>
    </row>
    <row r="49" spans="4:9" x14ac:dyDescent="0.2">
      <c r="D49" t="s">
        <v>51</v>
      </c>
      <c r="E49">
        <f t="shared" si="0"/>
        <v>158120.75</v>
      </c>
      <c r="F49">
        <f t="shared" si="1"/>
        <v>101572</v>
      </c>
      <c r="G49">
        <f t="shared" si="2"/>
        <v>394</v>
      </c>
      <c r="H49">
        <f t="shared" si="3"/>
        <v>2.1911458008550029</v>
      </c>
      <c r="I49">
        <f t="shared" si="4"/>
        <v>2.3398969101851583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Lauflab</dc:creator>
  <cp:lastModifiedBy>Yana Lerner</cp:lastModifiedBy>
  <dcterms:created xsi:type="dcterms:W3CDTF">2011-01-18T20:51:17Z</dcterms:created>
  <dcterms:modified xsi:type="dcterms:W3CDTF">2026-01-25T07:59:57Z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