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al\Weizmann Institute Dropbox\Yana Lerner\Lab members\Yana\1.REPRORTER ASSAY\20260122_full experiment with Etai\"/>
    </mc:Choice>
  </mc:AlternateContent>
  <xr:revisionPtr revIDLastSave="0" documentId="13_ncr:1_{8738C86F-4909-4F85-9AB8-72248E88F46D}" xr6:coauthVersionLast="47" xr6:coauthVersionMax="47" xr10:uidLastSave="{00000000-0000-0000-0000-000000000000}"/>
  <bookViews>
    <workbookView xWindow="-120" yWindow="-120" windowWidth="29040" windowHeight="15840" xr2:uid="{6BACCB05-3C0E-4304-9514-F553FDD4943F}"/>
  </bookViews>
  <sheets>
    <sheet name="Plate 4 - Sheet1" sheetId="1" r:id="rId1"/>
  </sheets>
  <definedNames>
    <definedName name="MethodPointer1">-1402280480</definedName>
    <definedName name="MethodPointer2">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45" i="1"/>
  <c r="G46" i="1"/>
  <c r="G47" i="1"/>
  <c r="G48" i="1"/>
  <c r="G43" i="1"/>
  <c r="F44" i="1"/>
  <c r="F45" i="1"/>
  <c r="F46" i="1"/>
  <c r="F47" i="1"/>
  <c r="F48" i="1"/>
  <c r="F43" i="1"/>
  <c r="E44" i="1"/>
  <c r="E45" i="1"/>
  <c r="E46" i="1"/>
  <c r="E47" i="1"/>
  <c r="E48" i="1"/>
  <c r="E43" i="1"/>
</calcChain>
</file>

<file path=xl/sharedStrings.xml><?xml version="1.0" encoding="utf-8"?>
<sst xmlns="http://schemas.openxmlformats.org/spreadsheetml/2006/main" count="61" uniqueCount="53">
  <si>
    <t>Software Version</t>
  </si>
  <si>
    <t>3.10.06</t>
  </si>
  <si>
    <t>Experiment File Path:</t>
  </si>
  <si>
    <t>C:\Users\Lauflab\Desktop\Synergy experiments\lumine_260122_112815.xpt</t>
  </si>
  <si>
    <t>Protocol File Path:</t>
  </si>
  <si>
    <t>C:\Users\Public\Documents\Protocols\lumine.prt</t>
  </si>
  <si>
    <t>Plate Number</t>
  </si>
  <si>
    <t>Plate 4</t>
  </si>
  <si>
    <t>Date</t>
  </si>
  <si>
    <t>Time</t>
  </si>
  <si>
    <t>Reader Type:</t>
  </si>
  <si>
    <t>Synergy H1</t>
  </si>
  <si>
    <t>Reader Serial Number:</t>
  </si>
  <si>
    <t>2202013B</t>
  </si>
  <si>
    <t>Reading Type</t>
  </si>
  <si>
    <t>Reader</t>
  </si>
  <si>
    <t>Procedure Details</t>
  </si>
  <si>
    <t>Plate Type</t>
  </si>
  <si>
    <t>Costar 96 white opaque (Use plate lid)</t>
  </si>
  <si>
    <t>Eject plate on completion</t>
  </si>
  <si>
    <t>Shake</t>
  </si>
  <si>
    <t>Orbital: 0:05 (MM:SS)</t>
  </si>
  <si>
    <t>Frequency: 282 cpm (3 mm)</t>
  </si>
  <si>
    <t>Set Temperature</t>
  </si>
  <si>
    <t>Setpoint 22°C</t>
  </si>
  <si>
    <t>Read</t>
  </si>
  <si>
    <t>Luminescence Endpoint</t>
  </si>
  <si>
    <t>Full Plate</t>
  </si>
  <si>
    <t>Integration Time: 0:01.00 (MM:SS.ss)</t>
  </si>
  <si>
    <t>Filter Set 1</t>
  </si>
  <si>
    <t xml:space="preserve">    Emission: Full light</t>
  </si>
  <si>
    <t xml:space="preserve">    Optics: Top,  Gain: 255</t>
  </si>
  <si>
    <t>Read Speed: Normal,  Delay: 100 msec</t>
  </si>
  <si>
    <t>Extended Dynamic Range</t>
  </si>
  <si>
    <t>Read Height: (auto)</t>
  </si>
  <si>
    <t>Results</t>
  </si>
  <si>
    <t>Actual Temperature:</t>
  </si>
  <si>
    <t>A</t>
  </si>
  <si>
    <t>Lum</t>
  </si>
  <si>
    <t>B</t>
  </si>
  <si>
    <t>C</t>
  </si>
  <si>
    <t>D</t>
  </si>
  <si>
    <t>E</t>
  </si>
  <si>
    <t>F</t>
  </si>
  <si>
    <t>G</t>
  </si>
  <si>
    <t>H</t>
  </si>
  <si>
    <t>nt</t>
  </si>
  <si>
    <t>xpo1</t>
  </si>
  <si>
    <t>ciao</t>
  </si>
  <si>
    <t>fam</t>
  </si>
  <si>
    <t>mms</t>
  </si>
  <si>
    <t>2mM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</si>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</sst>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B7C4-64B2-40F4-8A06-0094E9F34422}">
  <dimension ref="A2:O48"/>
  <sheetViews>
    <sheetView tabSelected="1" topLeftCell="A13" workbookViewId="0">
      <selection activeCell="D42" sqref="D42:G4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46044</v>
      </c>
    </row>
    <row r="8" spans="1:2" x14ac:dyDescent="0.2">
      <c r="A8" t="s">
        <v>9</v>
      </c>
      <c r="B8" s="2">
        <v>0.5213888888888889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4" x14ac:dyDescent="0.2">
      <c r="B17" t="s">
        <v>22</v>
      </c>
    </row>
    <row r="18" spans="1:14" x14ac:dyDescent="0.2">
      <c r="A18" t="s">
        <v>23</v>
      </c>
      <c r="B18" t="s">
        <v>24</v>
      </c>
    </row>
    <row r="19" spans="1:14" x14ac:dyDescent="0.2">
      <c r="A19" t="s">
        <v>25</v>
      </c>
      <c r="B19" t="s">
        <v>26</v>
      </c>
    </row>
    <row r="20" spans="1:14" x14ac:dyDescent="0.2">
      <c r="B20" t="s">
        <v>27</v>
      </c>
    </row>
    <row r="21" spans="1:14" x14ac:dyDescent="0.2">
      <c r="B21" t="s">
        <v>28</v>
      </c>
    </row>
    <row r="22" spans="1:14" x14ac:dyDescent="0.2">
      <c r="B22" t="s">
        <v>29</v>
      </c>
    </row>
    <row r="23" spans="1:14" x14ac:dyDescent="0.2">
      <c r="B23" t="s">
        <v>30</v>
      </c>
    </row>
    <row r="24" spans="1:14" x14ac:dyDescent="0.2">
      <c r="B24" t="s">
        <v>31</v>
      </c>
    </row>
    <row r="25" spans="1:14" x14ac:dyDescent="0.2">
      <c r="B25" t="s">
        <v>32</v>
      </c>
    </row>
    <row r="26" spans="1:14" x14ac:dyDescent="0.2">
      <c r="B26" t="s">
        <v>33</v>
      </c>
    </row>
    <row r="27" spans="1:14" x14ac:dyDescent="0.2">
      <c r="B27" t="s">
        <v>34</v>
      </c>
    </row>
    <row r="29" spans="1:14" x14ac:dyDescent="0.2">
      <c r="A29" s="3" t="s">
        <v>35</v>
      </c>
      <c r="B29" s="4"/>
    </row>
    <row r="30" spans="1:14" x14ac:dyDescent="0.2">
      <c r="A30" t="s">
        <v>36</v>
      </c>
      <c r="B30">
        <v>23.6</v>
      </c>
    </row>
    <row r="32" spans="1:14" x14ac:dyDescent="0.2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x14ac:dyDescent="0.2">
      <c r="B33" s="6" t="s">
        <v>37</v>
      </c>
      <c r="C33" s="7">
        <v>248</v>
      </c>
      <c r="D33" s="7">
        <v>432</v>
      </c>
      <c r="E33" s="7">
        <v>267</v>
      </c>
      <c r="F33" s="7">
        <v>544</v>
      </c>
      <c r="G33" s="7">
        <v>549</v>
      </c>
      <c r="H33" s="7">
        <v>93</v>
      </c>
      <c r="I33" s="7">
        <v>72</v>
      </c>
      <c r="J33" s="7">
        <v>503</v>
      </c>
      <c r="K33" s="7">
        <v>700</v>
      </c>
      <c r="L33" s="7">
        <v>205</v>
      </c>
      <c r="M33" s="7">
        <v>357</v>
      </c>
      <c r="N33" s="8">
        <v>1106</v>
      </c>
      <c r="O33" s="9" t="s">
        <v>38</v>
      </c>
    </row>
    <row r="34" spans="2:15" x14ac:dyDescent="0.2">
      <c r="B34" s="6" t="s">
        <v>39</v>
      </c>
      <c r="C34" s="8">
        <v>872</v>
      </c>
      <c r="D34" s="10">
        <v>3431</v>
      </c>
      <c r="E34" s="11">
        <v>5724</v>
      </c>
      <c r="F34" s="12">
        <v>6266</v>
      </c>
      <c r="G34" s="13">
        <v>8538</v>
      </c>
      <c r="H34" s="7">
        <v>83</v>
      </c>
      <c r="I34" s="8">
        <v>1408</v>
      </c>
      <c r="J34" s="14">
        <v>3626</v>
      </c>
      <c r="K34" s="11">
        <v>5267</v>
      </c>
      <c r="L34" s="15">
        <v>8889</v>
      </c>
      <c r="M34" s="7">
        <v>127</v>
      </c>
      <c r="N34" s="8">
        <v>995</v>
      </c>
      <c r="O34" s="9" t="s">
        <v>38</v>
      </c>
    </row>
    <row r="35" spans="2:15" x14ac:dyDescent="0.2">
      <c r="B35" s="6" t="s">
        <v>40</v>
      </c>
      <c r="C35" s="7">
        <v>530</v>
      </c>
      <c r="D35" s="7">
        <v>461</v>
      </c>
      <c r="E35" s="16">
        <v>2035</v>
      </c>
      <c r="F35" s="7">
        <v>228</v>
      </c>
      <c r="G35" s="8">
        <v>762</v>
      </c>
      <c r="H35" s="7">
        <v>51</v>
      </c>
      <c r="I35" s="8">
        <v>1130</v>
      </c>
      <c r="J35" s="7">
        <v>381</v>
      </c>
      <c r="K35" s="16">
        <v>1455</v>
      </c>
      <c r="L35" s="16">
        <v>1462</v>
      </c>
      <c r="M35" s="7">
        <v>16</v>
      </c>
      <c r="N35" s="7">
        <v>153</v>
      </c>
      <c r="O35" s="9" t="s">
        <v>38</v>
      </c>
    </row>
    <row r="36" spans="2:15" x14ac:dyDescent="0.2">
      <c r="B36" s="6" t="s">
        <v>41</v>
      </c>
      <c r="C36" s="7">
        <v>150</v>
      </c>
      <c r="D36" s="17">
        <v>2520</v>
      </c>
      <c r="E36" s="10">
        <v>3246</v>
      </c>
      <c r="F36" s="18">
        <v>4973</v>
      </c>
      <c r="G36" s="10">
        <v>3008</v>
      </c>
      <c r="H36" s="7">
        <v>102</v>
      </c>
      <c r="I36" s="11">
        <v>5250</v>
      </c>
      <c r="J36" s="16">
        <v>1810</v>
      </c>
      <c r="K36" s="16">
        <v>2073</v>
      </c>
      <c r="L36" s="18">
        <v>4490</v>
      </c>
      <c r="M36" s="7">
        <v>349</v>
      </c>
      <c r="N36" s="7">
        <v>316</v>
      </c>
      <c r="O36" s="9" t="s">
        <v>38</v>
      </c>
    </row>
    <row r="37" spans="2:15" x14ac:dyDescent="0.2">
      <c r="B37" s="6" t="s">
        <v>42</v>
      </c>
      <c r="C37" s="7">
        <v>215</v>
      </c>
      <c r="D37" s="12">
        <v>5857</v>
      </c>
      <c r="E37" s="18">
        <v>4426</v>
      </c>
      <c r="F37" s="18">
        <v>4661</v>
      </c>
      <c r="G37" s="17">
        <v>2429</v>
      </c>
      <c r="H37" s="7">
        <v>329</v>
      </c>
      <c r="I37" s="11">
        <v>5557</v>
      </c>
      <c r="J37" s="11">
        <v>5698</v>
      </c>
      <c r="K37" s="16">
        <v>2083</v>
      </c>
      <c r="L37" s="18">
        <v>4937</v>
      </c>
      <c r="M37" s="7">
        <v>512</v>
      </c>
      <c r="N37" s="7">
        <v>538</v>
      </c>
      <c r="O37" s="9" t="s">
        <v>38</v>
      </c>
    </row>
    <row r="38" spans="2:15" x14ac:dyDescent="0.2">
      <c r="B38" s="6" t="s">
        <v>43</v>
      </c>
      <c r="C38" s="8">
        <v>942</v>
      </c>
      <c r="D38" s="14">
        <v>3643</v>
      </c>
      <c r="E38" s="10">
        <v>3267</v>
      </c>
      <c r="F38" s="16">
        <v>1750</v>
      </c>
      <c r="G38" s="18">
        <v>4609</v>
      </c>
      <c r="H38" s="7">
        <v>326</v>
      </c>
      <c r="I38" s="14">
        <v>3896</v>
      </c>
      <c r="J38" s="17">
        <v>2811</v>
      </c>
      <c r="K38" s="14">
        <v>3795</v>
      </c>
      <c r="L38" s="10">
        <v>3342</v>
      </c>
      <c r="M38" s="7">
        <v>108</v>
      </c>
      <c r="N38" s="7">
        <v>650</v>
      </c>
      <c r="O38" s="9" t="s">
        <v>38</v>
      </c>
    </row>
    <row r="39" spans="2:15" x14ac:dyDescent="0.2">
      <c r="B39" s="6" t="s">
        <v>44</v>
      </c>
      <c r="C39" s="7">
        <v>261</v>
      </c>
      <c r="D39" s="19">
        <v>6624</v>
      </c>
      <c r="E39" s="20">
        <v>7871</v>
      </c>
      <c r="F39" s="18">
        <v>4812</v>
      </c>
      <c r="G39" s="11">
        <v>5440</v>
      </c>
      <c r="H39" s="7">
        <v>580</v>
      </c>
      <c r="I39" s="11">
        <v>5316</v>
      </c>
      <c r="J39" s="14">
        <v>4160</v>
      </c>
      <c r="K39" s="10">
        <v>3379</v>
      </c>
      <c r="L39" s="21">
        <v>10018</v>
      </c>
      <c r="M39" s="8">
        <v>870</v>
      </c>
      <c r="N39" s="7">
        <v>174</v>
      </c>
      <c r="O39" s="9" t="s">
        <v>38</v>
      </c>
    </row>
    <row r="40" spans="2:15" x14ac:dyDescent="0.2">
      <c r="B40" s="6" t="s">
        <v>45</v>
      </c>
      <c r="C40" s="7">
        <v>121</v>
      </c>
      <c r="D40" s="8">
        <v>976</v>
      </c>
      <c r="E40" s="7">
        <v>214</v>
      </c>
      <c r="F40" s="7">
        <v>4</v>
      </c>
      <c r="G40" s="7">
        <v>316</v>
      </c>
      <c r="H40" s="7">
        <v>228</v>
      </c>
      <c r="I40" s="7">
        <v>292</v>
      </c>
      <c r="J40" s="7">
        <v>450</v>
      </c>
      <c r="K40" s="7">
        <v>695</v>
      </c>
      <c r="L40" s="8">
        <v>1195</v>
      </c>
      <c r="M40" s="7">
        <v>287</v>
      </c>
      <c r="N40" s="7">
        <v>282</v>
      </c>
      <c r="O40" s="9" t="s">
        <v>38</v>
      </c>
    </row>
    <row r="42" spans="2:15" x14ac:dyDescent="0.2">
      <c r="F42" t="s">
        <v>51</v>
      </c>
      <c r="G42" t="s">
        <v>52</v>
      </c>
    </row>
    <row r="43" spans="2:15" x14ac:dyDescent="0.2">
      <c r="D43" t="s">
        <v>46</v>
      </c>
      <c r="E43">
        <f>AVERAGE(D34:G34)</f>
        <v>5989.75</v>
      </c>
      <c r="F43">
        <f>AVERAGE(I34:L34)</f>
        <v>4797.5</v>
      </c>
      <c r="G43">
        <f>H34</f>
        <v>83</v>
      </c>
    </row>
    <row r="44" spans="2:15" x14ac:dyDescent="0.2">
      <c r="D44" t="s">
        <v>47</v>
      </c>
      <c r="E44">
        <f t="shared" ref="E44:E48" si="0">AVERAGE(D35:G35)</f>
        <v>871.5</v>
      </c>
      <c r="F44">
        <f t="shared" ref="F44:F48" si="1">AVERAGE(I35:L35)</f>
        <v>1107</v>
      </c>
      <c r="G44">
        <f t="shared" ref="G44:G48" si="2">H35</f>
        <v>51</v>
      </c>
    </row>
    <row r="45" spans="2:15" x14ac:dyDescent="0.2">
      <c r="D45" t="s">
        <v>46</v>
      </c>
      <c r="E45">
        <f t="shared" si="0"/>
        <v>3436.75</v>
      </c>
      <c r="F45">
        <f t="shared" si="1"/>
        <v>3405.75</v>
      </c>
      <c r="G45">
        <f t="shared" si="2"/>
        <v>102</v>
      </c>
    </row>
    <row r="46" spans="2:15" x14ac:dyDescent="0.2">
      <c r="D46" t="s">
        <v>48</v>
      </c>
      <c r="E46">
        <f t="shared" si="0"/>
        <v>4343.25</v>
      </c>
      <c r="F46">
        <f t="shared" si="1"/>
        <v>4568.75</v>
      </c>
      <c r="G46">
        <f t="shared" si="2"/>
        <v>329</v>
      </c>
    </row>
    <row r="47" spans="2:15" x14ac:dyDescent="0.2">
      <c r="D47" t="s">
        <v>49</v>
      </c>
      <c r="E47">
        <f t="shared" si="0"/>
        <v>3317.25</v>
      </c>
      <c r="F47">
        <f t="shared" si="1"/>
        <v>3461</v>
      </c>
      <c r="G47">
        <f t="shared" si="2"/>
        <v>326</v>
      </c>
    </row>
    <row r="48" spans="2:15" x14ac:dyDescent="0.2">
      <c r="D48" t="s">
        <v>50</v>
      </c>
      <c r="E48">
        <f t="shared" si="0"/>
        <v>6186.75</v>
      </c>
      <c r="F48">
        <f t="shared" si="1"/>
        <v>5718.25</v>
      </c>
      <c r="G48">
        <f t="shared" si="2"/>
        <v>580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4 -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Lauflab</dc:creator>
  <cp:lastModifiedBy>Yana Lerner</cp:lastModifiedBy>
  <dcterms:created xsi:type="dcterms:W3CDTF">2011-01-18T20:51:17Z</dcterms:created>
  <dcterms:modified xsi:type="dcterms:W3CDTF">2026-01-22T13:07:21Z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